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necedores" sheetId="1" r:id="rId4"/>
    <sheet state="visible" name="Entrada de Remessas" sheetId="2" r:id="rId5"/>
    <sheet state="visible" name="Estoque" sheetId="3" r:id="rId6"/>
    <sheet state="visible" name="Serviços" sheetId="4" r:id="rId7"/>
    <sheet state="visible" name="Orçamento" sheetId="5" r:id="rId8"/>
    <sheet state="visible" name="Vendas" sheetId="6" r:id="rId9"/>
  </sheets>
  <definedNames/>
  <calcPr/>
</workbook>
</file>

<file path=xl/sharedStrings.xml><?xml version="1.0" encoding="utf-8"?>
<sst xmlns="http://schemas.openxmlformats.org/spreadsheetml/2006/main" count="248" uniqueCount="151">
  <si>
    <t>Fornecedores</t>
  </si>
  <si>
    <t>Nome</t>
  </si>
  <si>
    <t>Cidade</t>
  </si>
  <si>
    <t>Tipo de Produtos</t>
  </si>
  <si>
    <t>CNPJ</t>
  </si>
  <si>
    <t>E-mail</t>
  </si>
  <si>
    <t>Telefone</t>
  </si>
  <si>
    <t>Produto 1</t>
  </si>
  <si>
    <t>Cidade 1</t>
  </si>
  <si>
    <t>Tipo 1</t>
  </si>
  <si>
    <t>empresa1@email.com</t>
  </si>
  <si>
    <t>1111 1111</t>
  </si>
  <si>
    <t>Produto 2</t>
  </si>
  <si>
    <t>Cidade 2</t>
  </si>
  <si>
    <t>Tipo 2</t>
  </si>
  <si>
    <t>empresa2@email.com</t>
  </si>
  <si>
    <t>2222 2222</t>
  </si>
  <si>
    <t>Produto 3</t>
  </si>
  <si>
    <t>Cidade 3</t>
  </si>
  <si>
    <t>Tipo 3</t>
  </si>
  <si>
    <t>empresa3@email.com</t>
  </si>
  <si>
    <t>3333 3333</t>
  </si>
  <si>
    <t>Produto 4</t>
  </si>
  <si>
    <t>Cidade 4</t>
  </si>
  <si>
    <t>Tipo 4</t>
  </si>
  <si>
    <t>empresa4@email.com</t>
  </si>
  <si>
    <t>4444 4444</t>
  </si>
  <si>
    <t>Produto 5</t>
  </si>
  <si>
    <t>Cidade 5</t>
  </si>
  <si>
    <t>Tipo 5</t>
  </si>
  <si>
    <t>empresa5@email.com</t>
  </si>
  <si>
    <t>5555 5555</t>
  </si>
  <si>
    <t>Entrada de Materiais para o Estoque</t>
  </si>
  <si>
    <t>Data</t>
  </si>
  <si>
    <t>Código do Produto</t>
  </si>
  <si>
    <t>Descrição</t>
  </si>
  <si>
    <t>Fornecedor</t>
  </si>
  <si>
    <t>Quantidade</t>
  </si>
  <si>
    <t>Medida</t>
  </si>
  <si>
    <t>Valor unitário</t>
  </si>
  <si>
    <t>Valor total</t>
  </si>
  <si>
    <t>Estoque</t>
  </si>
  <si>
    <t>Unidade de medida</t>
  </si>
  <si>
    <t>PR0001</t>
  </si>
  <si>
    <t>Item 1</t>
  </si>
  <si>
    <t>KG</t>
  </si>
  <si>
    <t>PR0002</t>
  </si>
  <si>
    <t>Item 2</t>
  </si>
  <si>
    <t>Unidade</t>
  </si>
  <si>
    <t>R$ 12.276,00</t>
  </si>
  <si>
    <t>PR0003</t>
  </si>
  <si>
    <t>Item 3</t>
  </si>
  <si>
    <t>R$ 57,00</t>
  </si>
  <si>
    <t>R$ 8.607,00</t>
  </si>
  <si>
    <t>PR0004</t>
  </si>
  <si>
    <t>Item 4</t>
  </si>
  <si>
    <t>R$ 19,00</t>
  </si>
  <si>
    <t>R$ 3.534,00</t>
  </si>
  <si>
    <t>PR0005</t>
  </si>
  <si>
    <t>Item 5</t>
  </si>
  <si>
    <t>R$ 75,00</t>
  </si>
  <si>
    <t>R$ 4.650,00</t>
  </si>
  <si>
    <t>PR0006</t>
  </si>
  <si>
    <t>Item 6</t>
  </si>
  <si>
    <t>R$ 11,00</t>
  </si>
  <si>
    <t>R$ 55,00</t>
  </si>
  <si>
    <t>PR0007</t>
  </si>
  <si>
    <t>Item 7</t>
  </si>
  <si>
    <t>R$ 56,00</t>
  </si>
  <si>
    <t>R$ 3.248,00</t>
  </si>
  <si>
    <t>PR0008</t>
  </si>
  <si>
    <t>Item 8</t>
  </si>
  <si>
    <t>Litros</t>
  </si>
  <si>
    <t>R$ 38,00</t>
  </si>
  <si>
    <t>R$ 3.838,00</t>
  </si>
  <si>
    <t>PR0009</t>
  </si>
  <si>
    <t>Item 9</t>
  </si>
  <si>
    <t>R$ 59,00</t>
  </si>
  <si>
    <t>R$ 7.198,00</t>
  </si>
  <si>
    <t>PR0010</t>
  </si>
  <si>
    <t>Item 10</t>
  </si>
  <si>
    <t>R$ 50,00</t>
  </si>
  <si>
    <t>R$ 8.750,00</t>
  </si>
  <si>
    <t>Valor Unitário</t>
  </si>
  <si>
    <t>Valor Total</t>
  </si>
  <si>
    <t>PR0011</t>
  </si>
  <si>
    <t>Item 11</t>
  </si>
  <si>
    <t>R$ 10.384,00</t>
  </si>
  <si>
    <t>PR0012</t>
  </si>
  <si>
    <t>Item 12</t>
  </si>
  <si>
    <t>R$ 18,00</t>
  </si>
  <si>
    <t>R$ 396,00</t>
  </si>
  <si>
    <t>PR0013</t>
  </si>
  <si>
    <t>Item 13</t>
  </si>
  <si>
    <t>R$ 26,00</t>
  </si>
  <si>
    <t>R$ 1.872,00</t>
  </si>
  <si>
    <t>PR0014</t>
  </si>
  <si>
    <t>Item 14</t>
  </si>
  <si>
    <t>R$ 42,00</t>
  </si>
  <si>
    <t>R$ 2.604,00</t>
  </si>
  <si>
    <t>PR0015</t>
  </si>
  <si>
    <t>Item 15</t>
  </si>
  <si>
    <t>R$ 32,00</t>
  </si>
  <si>
    <t>R$ 1.472,00</t>
  </si>
  <si>
    <t>PR0016</t>
  </si>
  <si>
    <t>Item 16</t>
  </si>
  <si>
    <t>R$ 90,00</t>
  </si>
  <si>
    <t>R$ 8.640,00</t>
  </si>
  <si>
    <t>PR0017</t>
  </si>
  <si>
    <t>Item 17</t>
  </si>
  <si>
    <t>R$ 97,00</t>
  </si>
  <si>
    <t>R$ 5.529,00</t>
  </si>
  <si>
    <t>PR0018</t>
  </si>
  <si>
    <t>Item 18</t>
  </si>
  <si>
    <t>R$ 12,00</t>
  </si>
  <si>
    <t>R$ 72,00</t>
  </si>
  <si>
    <t>PR0019</t>
  </si>
  <si>
    <t>Item 19</t>
  </si>
  <si>
    <t>R$ 82,00</t>
  </si>
  <si>
    <t>R$ 11.726,00</t>
  </si>
  <si>
    <t>PR0020</t>
  </si>
  <si>
    <t>Item 20</t>
  </si>
  <si>
    <t>R$ 16,00</t>
  </si>
  <si>
    <t>R$ 1.984,00</t>
  </si>
  <si>
    <t>PR0021</t>
  </si>
  <si>
    <t>Item 21</t>
  </si>
  <si>
    <t>R$ 2.128,00</t>
  </si>
  <si>
    <t>PR0022</t>
  </si>
  <si>
    <t>Item 22</t>
  </si>
  <si>
    <t>R$ 24,00</t>
  </si>
  <si>
    <t>R$ 4.368,00</t>
  </si>
  <si>
    <t>PR0023</t>
  </si>
  <si>
    <t>Item 23</t>
  </si>
  <si>
    <t>R$ 29,00</t>
  </si>
  <si>
    <t>R$ 3.074,00</t>
  </si>
  <si>
    <t>PR0024</t>
  </si>
  <si>
    <t>Item 24</t>
  </si>
  <si>
    <t>R$ 12.975,00</t>
  </si>
  <si>
    <t>PR0025</t>
  </si>
  <si>
    <t>Item 25</t>
  </si>
  <si>
    <t>R$ 14,00</t>
  </si>
  <si>
    <t>R$ 392,00</t>
  </si>
  <si>
    <t>Serviços</t>
  </si>
  <si>
    <t>Tipo</t>
  </si>
  <si>
    <t>Orçamento</t>
  </si>
  <si>
    <t>Produto</t>
  </si>
  <si>
    <t>Total</t>
  </si>
  <si>
    <t>Venda</t>
  </si>
  <si>
    <t>CPF Cliente</t>
  </si>
  <si>
    <t>Código Produto</t>
  </si>
  <si>
    <t>Descontos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</si>
</sst>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#,##0.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rgb="FF000000"/>
      <name val="Comfortaa"/>
    </font>
    <font>
      <sz val="12.0"/>
      <color theme="1"/>
      <name val="Times New Roman"/>
    </font>
    <font>
      <color theme="1"/>
      <name val="Times New Roman"/>
    </font>
    <font>
      <sz val="11.0"/>
      <color rgb="FF000000"/>
      <name val="Times New Roman"/>
    </font>
    <font>
      <b/>
      <sz val="12.0"/>
      <color rgb="FFFFFFFF"/>
      <name val="Corbel"/>
    </font>
    <font>
      <sz val="11.0"/>
      <color rgb="FF000000"/>
      <name val="Calibri"/>
    </font>
    <font>
      <sz val="10.0"/>
      <color theme="1"/>
      <name val="Times New Roman"/>
    </font>
    <font>
      <sz val="10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5F06"/>
        <bgColor rgb="FFB45F06"/>
      </patternFill>
    </fill>
  </fills>
  <borders count="19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top style="thin">
        <color rgb="FFFFFFFF"/>
      </top>
    </border>
    <border>
      <left style="thin">
        <color rgb="FF000000"/>
      </left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2" numFmtId="0" xfId="0" applyBorder="1" applyFont="1"/>
    <xf borderId="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7" fillId="0" fontId="1" numFmtId="0" xfId="0" applyBorder="1" applyFont="1"/>
    <xf borderId="1" fillId="0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shrinkToFit="0" vertical="center" wrapText="0"/>
    </xf>
    <xf borderId="9" fillId="0" fontId="6" numFmtId="164" xfId="0" applyAlignment="1" applyBorder="1" applyFont="1" applyNumberFormat="1">
      <alignment horizontal="center" readingOrder="0" shrinkToFit="0" vertical="center" wrapText="0"/>
    </xf>
    <xf borderId="10" fillId="0" fontId="6" numFmtId="164" xfId="0" applyAlignment="1" applyBorder="1" applyFont="1" applyNumberFormat="1">
      <alignment horizontal="center" readingOrder="0" shrinkToFit="0" vertical="center" wrapText="0"/>
    </xf>
    <xf borderId="11" fillId="2" fontId="6" numFmtId="0" xfId="0" applyAlignment="1" applyBorder="1" applyFill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shrinkToFit="0" vertical="center" wrapText="0"/>
    </xf>
    <xf borderId="7" fillId="0" fontId="6" numFmtId="164" xfId="0" applyAlignment="1" applyBorder="1" applyFont="1" applyNumberFormat="1">
      <alignment horizontal="center" readingOrder="0" shrinkToFit="0" vertical="center" wrapText="0"/>
    </xf>
    <xf borderId="12" fillId="0" fontId="6" numFmtId="0" xfId="0" applyAlignment="1" applyBorder="1" applyFont="1">
      <alignment horizontal="center" readingOrder="0" shrinkToFit="0" vertical="center" wrapText="0"/>
    </xf>
    <xf borderId="7" fillId="2" fontId="6" numFmtId="0" xfId="0" applyAlignment="1" applyBorder="1" applyFont="1">
      <alignment horizontal="center" readingOrder="0" vertical="center"/>
    </xf>
    <xf borderId="7" fillId="0" fontId="6" numFmtId="4" xfId="0" applyAlignment="1" applyBorder="1" applyFont="1" applyNumberFormat="1">
      <alignment horizontal="center" readingOrder="0" shrinkToFit="0" vertical="center" wrapText="0"/>
    </xf>
    <xf borderId="13" fillId="2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shrinkToFit="0" vertical="center" wrapText="0"/>
    </xf>
    <xf borderId="13" fillId="0" fontId="6" numFmtId="4" xfId="0" applyAlignment="1" applyBorder="1" applyFont="1" applyNumberFormat="1">
      <alignment horizontal="center" readingOrder="0" shrinkToFit="0" vertical="center" wrapText="0"/>
    </xf>
    <xf borderId="14" fillId="0" fontId="6" numFmtId="0" xfId="0" applyAlignment="1" applyBorder="1" applyFont="1">
      <alignment horizontal="center" readingOrder="0" shrinkToFit="0" vertical="center" wrapText="0"/>
    </xf>
    <xf borderId="9" fillId="3" fontId="7" numFmtId="0" xfId="0" applyAlignment="1" applyBorder="1" applyFill="1" applyFont="1">
      <alignment horizontal="center" readingOrder="0" shrinkToFit="0" vertical="center" wrapText="1"/>
    </xf>
    <xf borderId="9" fillId="3" fontId="7" numFmtId="0" xfId="0" applyAlignment="1" applyBorder="1" applyFont="1">
      <alignment horizontal="center" readingOrder="0" vertical="center"/>
    </xf>
    <xf borderId="10" fillId="3" fontId="7" numFmtId="0" xfId="0" applyAlignment="1" applyBorder="1" applyFont="1">
      <alignment horizontal="center" readingOrder="0" vertical="center"/>
    </xf>
    <xf borderId="15" fillId="0" fontId="8" numFmtId="0" xfId="0" applyAlignment="1" applyBorder="1" applyFont="1">
      <alignment horizontal="left" readingOrder="0" vertical="center"/>
    </xf>
    <xf borderId="15" fillId="0" fontId="8" numFmtId="0" xfId="0" applyAlignment="1" applyBorder="1" applyFont="1">
      <alignment horizontal="center" readingOrder="0" shrinkToFit="0" vertical="center" wrapText="0"/>
    </xf>
    <xf borderId="15" fillId="0" fontId="8" numFmtId="164" xfId="0" applyAlignment="1" applyBorder="1" applyFont="1" applyNumberFormat="1">
      <alignment horizontal="center" readingOrder="0" shrinkToFit="0" vertical="center" wrapText="0"/>
    </xf>
    <xf borderId="0" fillId="2" fontId="8" numFmtId="0" xfId="0" applyAlignment="1" applyFont="1">
      <alignment horizontal="left" readingOrder="0"/>
    </xf>
    <xf borderId="7" fillId="2" fontId="8" numFmtId="0" xfId="0" applyAlignment="1" applyBorder="1" applyFont="1">
      <alignment horizontal="left" readingOrder="0"/>
    </xf>
    <xf borderId="15" fillId="0" fontId="8" numFmtId="4" xfId="0" applyAlignment="1" applyBorder="1" applyFont="1" applyNumberFormat="1">
      <alignment horizontal="center" readingOrder="0" shrinkToFit="0" vertical="center" wrapText="0"/>
    </xf>
    <xf borderId="16" fillId="0" fontId="8" numFmtId="0" xfId="0" applyAlignment="1" applyBorder="1" applyFont="1">
      <alignment horizontal="left" readingOrder="0" vertical="center"/>
    </xf>
    <xf borderId="16" fillId="0" fontId="8" numFmtId="0" xfId="0" applyAlignment="1" applyBorder="1" applyFont="1">
      <alignment horizontal="center" readingOrder="0" shrinkToFit="0" vertical="center" wrapText="0"/>
    </xf>
    <xf borderId="16" fillId="0" fontId="8" numFmtId="4" xfId="0" applyAlignment="1" applyBorder="1" applyFont="1" applyNumberFormat="1">
      <alignment horizontal="center" readingOrder="0" shrinkToFit="0" vertical="center" wrapText="0"/>
    </xf>
    <xf borderId="17" fillId="0" fontId="1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9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center" shrinkToFit="0" wrapText="1"/>
    </xf>
    <xf borderId="18" fillId="0" fontId="5" numFmtId="164" xfId="0" applyAlignment="1" applyBorder="1" applyFont="1" applyNumberFormat="1">
      <alignment horizontal="center" shrinkToFit="0" wrapText="1"/>
    </xf>
    <xf borderId="0" fillId="0" fontId="9" numFmtId="0" xfId="0" applyAlignment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165" xfId="0" applyAlignment="1" applyFont="1" applyNumberFormat="1">
      <alignment horizontal="center" readingOrder="0" shrinkToFit="0" vertical="center" wrapText="1"/>
    </xf>
    <xf borderId="7" fillId="2" fontId="10" numFmtId="0" xfId="0" applyAlignment="1" applyBorder="1" applyFont="1">
      <alignment horizontal="center" readingOrder="0" shrinkToFit="0" vertical="center" wrapText="1"/>
    </xf>
    <xf borderId="7" fillId="0" fontId="10" numFmtId="164" xfId="0" applyAlignment="1" applyBorder="1" applyFont="1" applyNumberForma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8" fillId="0" fontId="10" numFmtId="0" xfId="0" applyAlignment="1" applyBorder="1" applyFont="1">
      <alignment horizontal="center" readingOrder="0" shrinkToFit="0" vertical="center" wrapText="1"/>
    </xf>
    <xf borderId="9" fillId="0" fontId="10" numFmtId="164" xfId="0" applyAlignment="1" applyBorder="1" applyFont="1" applyNumberForma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7" max="7" width="17.75"/>
  </cols>
  <sheetData>
    <row r="3">
      <c r="C3" s="1" t="s">
        <v>0</v>
      </c>
      <c r="D3" s="2"/>
      <c r="E3" s="2"/>
      <c r="F3" s="2"/>
      <c r="G3" s="2"/>
      <c r="H3" s="2"/>
    </row>
    <row r="4">
      <c r="C4" s="3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5" t="s">
        <v>6</v>
      </c>
    </row>
    <row r="5">
      <c r="C5" s="6" t="s">
        <v>7</v>
      </c>
      <c r="D5" s="6" t="s">
        <v>8</v>
      </c>
      <c r="E5" s="6" t="s">
        <v>9</v>
      </c>
      <c r="F5" s="6">
        <v>1.0</v>
      </c>
      <c r="G5" s="6" t="s">
        <v>10</v>
      </c>
      <c r="H5" s="6" t="s">
        <v>11</v>
      </c>
    </row>
    <row r="6">
      <c r="C6" s="6" t="s">
        <v>12</v>
      </c>
      <c r="D6" s="6" t="s">
        <v>13</v>
      </c>
      <c r="E6" s="6" t="s">
        <v>14</v>
      </c>
      <c r="F6" s="6">
        <v>2.0</v>
      </c>
      <c r="G6" s="6" t="s">
        <v>15</v>
      </c>
      <c r="H6" s="6" t="s">
        <v>16</v>
      </c>
    </row>
    <row r="7">
      <c r="C7" s="6" t="s">
        <v>17</v>
      </c>
      <c r="D7" s="6" t="s">
        <v>18</v>
      </c>
      <c r="E7" s="6" t="s">
        <v>19</v>
      </c>
      <c r="F7" s="6">
        <v>3.0</v>
      </c>
      <c r="G7" s="6" t="s">
        <v>20</v>
      </c>
      <c r="H7" s="6" t="s">
        <v>21</v>
      </c>
    </row>
    <row r="8">
      <c r="C8" s="6" t="s">
        <v>22</v>
      </c>
      <c r="D8" s="6" t="s">
        <v>23</v>
      </c>
      <c r="E8" s="6" t="s">
        <v>24</v>
      </c>
      <c r="F8" s="6">
        <v>4.0</v>
      </c>
      <c r="G8" s="6" t="s">
        <v>25</v>
      </c>
      <c r="H8" s="6" t="s">
        <v>26</v>
      </c>
    </row>
    <row r="9">
      <c r="C9" s="7" t="s">
        <v>27</v>
      </c>
      <c r="D9" s="7" t="s">
        <v>28</v>
      </c>
      <c r="E9" s="7" t="s">
        <v>29</v>
      </c>
      <c r="F9" s="7">
        <v>5.0</v>
      </c>
      <c r="G9" s="7" t="s">
        <v>30</v>
      </c>
      <c r="H9" s="7" t="s">
        <v>31</v>
      </c>
    </row>
  </sheetData>
  <mergeCells count="1">
    <mergeCell ref="C3:H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88"/>
    <col customWidth="1" min="7" max="9" width="10.75"/>
  </cols>
  <sheetData>
    <row r="2">
      <c r="C2" s="8"/>
      <c r="D2" s="9"/>
      <c r="E2" s="8"/>
      <c r="F2" s="8"/>
      <c r="G2" s="8"/>
      <c r="H2" s="8"/>
      <c r="I2" s="8"/>
    </row>
    <row r="3">
      <c r="C3" s="10" t="s">
        <v>32</v>
      </c>
      <c r="D3" s="11"/>
      <c r="E3" s="11"/>
      <c r="F3" s="11"/>
      <c r="G3" s="11"/>
      <c r="H3" s="11"/>
      <c r="I3" s="11"/>
      <c r="J3" s="11"/>
    </row>
    <row r="4">
      <c r="C4" s="3" t="s">
        <v>33</v>
      </c>
      <c r="D4" s="4" t="s">
        <v>34</v>
      </c>
      <c r="E4" s="4" t="s">
        <v>35</v>
      </c>
      <c r="F4" s="12" t="s">
        <v>36</v>
      </c>
      <c r="G4" s="4" t="s">
        <v>37</v>
      </c>
      <c r="H4" s="5" t="s">
        <v>38</v>
      </c>
      <c r="I4" s="5" t="s">
        <v>39</v>
      </c>
      <c r="J4" s="13" t="s">
        <v>40</v>
      </c>
    </row>
    <row r="5">
      <c r="C5" s="8"/>
      <c r="D5" s="8"/>
      <c r="E5" s="8"/>
      <c r="F5" s="8"/>
      <c r="G5" s="8"/>
      <c r="H5" s="8"/>
      <c r="I5" s="8"/>
    </row>
  </sheetData>
  <mergeCells count="1">
    <mergeCell ref="C3:J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4" max="4" width="12.88"/>
    <col customWidth="1" min="5" max="5" width="15.5"/>
    <col customWidth="1" min="6" max="6" width="13.75"/>
    <col customWidth="1" min="7" max="7" width="15.75"/>
    <col customWidth="1" min="8" max="8" width="13.5"/>
  </cols>
  <sheetData>
    <row r="2">
      <c r="B2" s="14"/>
      <c r="C2" s="14"/>
      <c r="D2" s="14"/>
      <c r="E2" s="14"/>
      <c r="F2" s="14"/>
      <c r="G2" s="14"/>
      <c r="H2" s="14"/>
      <c r="I2" s="14"/>
    </row>
    <row r="3">
      <c r="B3" s="14"/>
      <c r="C3" s="15" t="s">
        <v>41</v>
      </c>
      <c r="D3" s="2"/>
      <c r="E3" s="2"/>
      <c r="F3" s="2"/>
      <c r="G3" s="2"/>
      <c r="H3" s="2"/>
      <c r="I3" s="14"/>
    </row>
    <row r="4">
      <c r="B4" s="14"/>
      <c r="C4" s="16" t="s">
        <v>34</v>
      </c>
      <c r="D4" s="17" t="s">
        <v>35</v>
      </c>
      <c r="E4" s="17" t="s">
        <v>42</v>
      </c>
      <c r="F4" s="17" t="s">
        <v>37</v>
      </c>
      <c r="G4" s="17" t="s">
        <v>39</v>
      </c>
      <c r="H4" s="18" t="s">
        <v>40</v>
      </c>
      <c r="I4" s="14"/>
    </row>
    <row r="5">
      <c r="B5" s="14"/>
      <c r="C5" s="19" t="s">
        <v>43</v>
      </c>
      <c r="D5" s="20" t="s">
        <v>44</v>
      </c>
      <c r="E5" s="20" t="s">
        <v>45</v>
      </c>
      <c r="F5" s="21">
        <v>25.0</v>
      </c>
      <c r="G5" s="22">
        <v>51.0</v>
      </c>
      <c r="H5" s="23">
        <f>F5*G5</f>
        <v>1275</v>
      </c>
      <c r="I5" s="14"/>
    </row>
    <row r="6">
      <c r="B6" s="14"/>
      <c r="C6" s="24" t="s">
        <v>46</v>
      </c>
      <c r="D6" s="25" t="s">
        <v>47</v>
      </c>
      <c r="E6" s="25" t="s">
        <v>48</v>
      </c>
      <c r="F6" s="26">
        <v>132.0</v>
      </c>
      <c r="G6" s="27">
        <v>93.0</v>
      </c>
      <c r="H6" s="28" t="s">
        <v>49</v>
      </c>
      <c r="I6" s="14"/>
    </row>
    <row r="7">
      <c r="B7" s="14"/>
      <c r="C7" s="29" t="s">
        <v>50</v>
      </c>
      <c r="D7" s="25" t="s">
        <v>51</v>
      </c>
      <c r="E7" s="25" t="s">
        <v>48</v>
      </c>
      <c r="F7" s="26">
        <v>151.0</v>
      </c>
      <c r="G7" s="30" t="s">
        <v>52</v>
      </c>
      <c r="H7" s="28" t="s">
        <v>53</v>
      </c>
      <c r="I7" s="14"/>
    </row>
    <row r="8">
      <c r="B8" s="14"/>
      <c r="C8" s="29" t="s">
        <v>54</v>
      </c>
      <c r="D8" s="25" t="s">
        <v>55</v>
      </c>
      <c r="E8" s="25" t="s">
        <v>48</v>
      </c>
      <c r="F8" s="26">
        <v>186.0</v>
      </c>
      <c r="G8" s="30" t="s">
        <v>56</v>
      </c>
      <c r="H8" s="28" t="s">
        <v>57</v>
      </c>
      <c r="I8" s="14"/>
      <c r="J8" s="14"/>
    </row>
    <row r="9">
      <c r="B9" s="14"/>
      <c r="C9" s="29" t="s">
        <v>58</v>
      </c>
      <c r="D9" s="25" t="s">
        <v>59</v>
      </c>
      <c r="E9" s="25" t="s">
        <v>48</v>
      </c>
      <c r="F9" s="26">
        <v>62.0</v>
      </c>
      <c r="G9" s="30" t="s">
        <v>60</v>
      </c>
      <c r="H9" s="28" t="s">
        <v>61</v>
      </c>
      <c r="I9" s="14"/>
    </row>
    <row r="10">
      <c r="B10" s="14"/>
      <c r="C10" s="29" t="s">
        <v>62</v>
      </c>
      <c r="D10" s="25" t="s">
        <v>63</v>
      </c>
      <c r="E10" s="25" t="s">
        <v>48</v>
      </c>
      <c r="F10" s="26">
        <v>5.0</v>
      </c>
      <c r="G10" s="30" t="s">
        <v>64</v>
      </c>
      <c r="H10" s="28" t="s">
        <v>65</v>
      </c>
      <c r="I10" s="14"/>
    </row>
    <row r="11">
      <c r="B11" s="14"/>
      <c r="C11" s="29" t="s">
        <v>66</v>
      </c>
      <c r="D11" s="25" t="s">
        <v>67</v>
      </c>
      <c r="E11" s="25" t="s">
        <v>48</v>
      </c>
      <c r="F11" s="26">
        <v>58.0</v>
      </c>
      <c r="G11" s="30" t="s">
        <v>68</v>
      </c>
      <c r="H11" s="28" t="s">
        <v>69</v>
      </c>
      <c r="I11" s="14"/>
    </row>
    <row r="12">
      <c r="B12" s="14"/>
      <c r="C12" s="29" t="s">
        <v>70</v>
      </c>
      <c r="D12" s="25" t="s">
        <v>71</v>
      </c>
      <c r="E12" s="25" t="s">
        <v>72</v>
      </c>
      <c r="F12" s="26">
        <v>101.0</v>
      </c>
      <c r="G12" s="30" t="s">
        <v>73</v>
      </c>
      <c r="H12" s="28" t="s">
        <v>74</v>
      </c>
      <c r="I12" s="14"/>
    </row>
    <row r="13">
      <c r="B13" s="14"/>
      <c r="C13" s="29" t="s">
        <v>75</v>
      </c>
      <c r="D13" s="25" t="s">
        <v>76</v>
      </c>
      <c r="E13" s="25" t="s">
        <v>48</v>
      </c>
      <c r="F13" s="26">
        <v>122.0</v>
      </c>
      <c r="G13" s="30" t="s">
        <v>77</v>
      </c>
      <c r="H13" s="28" t="s">
        <v>78</v>
      </c>
      <c r="I13" s="14"/>
    </row>
    <row r="14">
      <c r="B14" s="14"/>
      <c r="C14" s="31" t="s">
        <v>79</v>
      </c>
      <c r="D14" s="32" t="s">
        <v>80</v>
      </c>
      <c r="E14" s="32" t="s">
        <v>48</v>
      </c>
      <c r="F14" s="33">
        <v>175.0</v>
      </c>
      <c r="G14" s="34" t="s">
        <v>81</v>
      </c>
      <c r="H14" s="35" t="s">
        <v>82</v>
      </c>
      <c r="I14" s="14"/>
    </row>
    <row r="15">
      <c r="B15" s="14"/>
    </row>
    <row r="16" ht="35.25" customHeight="1">
      <c r="C16" s="36" t="s">
        <v>34</v>
      </c>
      <c r="D16" s="37" t="s">
        <v>1</v>
      </c>
      <c r="E16" s="36" t="s">
        <v>38</v>
      </c>
      <c r="F16" s="36" t="s">
        <v>37</v>
      </c>
      <c r="G16" s="37" t="s">
        <v>83</v>
      </c>
      <c r="H16" s="38" t="s">
        <v>84</v>
      </c>
    </row>
    <row r="17">
      <c r="C17" s="39" t="s">
        <v>43</v>
      </c>
      <c r="D17" s="39" t="s">
        <v>44</v>
      </c>
      <c r="E17" s="39" t="s">
        <v>45</v>
      </c>
      <c r="F17" s="40">
        <v>25.0</v>
      </c>
      <c r="G17" s="41">
        <v>51.0</v>
      </c>
      <c r="H17" s="41">
        <f>F17*G17</f>
        <v>1275</v>
      </c>
    </row>
    <row r="18">
      <c r="C18" s="42" t="s">
        <v>46</v>
      </c>
      <c r="D18" s="39" t="s">
        <v>47</v>
      </c>
      <c r="E18" s="39" t="s">
        <v>48</v>
      </c>
      <c r="F18" s="40">
        <v>132.0</v>
      </c>
      <c r="G18" s="41">
        <v>93.0</v>
      </c>
      <c r="H18" s="40" t="s">
        <v>49</v>
      </c>
    </row>
    <row r="19">
      <c r="C19" s="43" t="s">
        <v>50</v>
      </c>
      <c r="D19" s="39" t="s">
        <v>51</v>
      </c>
      <c r="E19" s="39" t="s">
        <v>48</v>
      </c>
      <c r="F19" s="40">
        <v>151.0</v>
      </c>
      <c r="G19" s="44" t="s">
        <v>52</v>
      </c>
      <c r="H19" s="40" t="s">
        <v>53</v>
      </c>
    </row>
    <row r="20">
      <c r="C20" s="43" t="s">
        <v>54</v>
      </c>
      <c r="D20" s="39" t="s">
        <v>55</v>
      </c>
      <c r="E20" s="39" t="s">
        <v>48</v>
      </c>
      <c r="F20" s="40">
        <v>186.0</v>
      </c>
      <c r="G20" s="44" t="s">
        <v>56</v>
      </c>
      <c r="H20" s="40" t="s">
        <v>57</v>
      </c>
    </row>
    <row r="21">
      <c r="C21" s="43" t="s">
        <v>58</v>
      </c>
      <c r="D21" s="39" t="s">
        <v>59</v>
      </c>
      <c r="E21" s="39" t="s">
        <v>48</v>
      </c>
      <c r="F21" s="40">
        <v>62.0</v>
      </c>
      <c r="G21" s="44" t="s">
        <v>60</v>
      </c>
      <c r="H21" s="40" t="s">
        <v>61</v>
      </c>
    </row>
    <row r="22">
      <c r="C22" s="43" t="s">
        <v>62</v>
      </c>
      <c r="D22" s="39" t="s">
        <v>63</v>
      </c>
      <c r="E22" s="39" t="s">
        <v>48</v>
      </c>
      <c r="F22" s="40">
        <v>5.0</v>
      </c>
      <c r="G22" s="44" t="s">
        <v>64</v>
      </c>
      <c r="H22" s="40" t="s">
        <v>65</v>
      </c>
    </row>
    <row r="23">
      <c r="C23" s="43" t="s">
        <v>66</v>
      </c>
      <c r="D23" s="39" t="s">
        <v>67</v>
      </c>
      <c r="E23" s="39" t="s">
        <v>48</v>
      </c>
      <c r="F23" s="40">
        <v>58.0</v>
      </c>
      <c r="G23" s="44" t="s">
        <v>68</v>
      </c>
      <c r="H23" s="40" t="s">
        <v>69</v>
      </c>
    </row>
    <row r="24">
      <c r="C24" s="43" t="s">
        <v>70</v>
      </c>
      <c r="D24" s="39" t="s">
        <v>71</v>
      </c>
      <c r="E24" s="39" t="s">
        <v>72</v>
      </c>
      <c r="F24" s="40">
        <v>101.0</v>
      </c>
      <c r="G24" s="44" t="s">
        <v>73</v>
      </c>
      <c r="H24" s="40" t="s">
        <v>74</v>
      </c>
    </row>
    <row r="25">
      <c r="C25" s="43" t="s">
        <v>75</v>
      </c>
      <c r="D25" s="39" t="s">
        <v>76</v>
      </c>
      <c r="E25" s="39" t="s">
        <v>48</v>
      </c>
      <c r="F25" s="40">
        <v>122.0</v>
      </c>
      <c r="G25" s="44" t="s">
        <v>77</v>
      </c>
      <c r="H25" s="40" t="s">
        <v>78</v>
      </c>
    </row>
    <row r="26">
      <c r="C26" s="43" t="s">
        <v>79</v>
      </c>
      <c r="D26" s="39" t="s">
        <v>80</v>
      </c>
      <c r="E26" s="39" t="s">
        <v>48</v>
      </c>
      <c r="F26" s="40">
        <v>175.0</v>
      </c>
      <c r="G26" s="44" t="s">
        <v>81</v>
      </c>
      <c r="H26" s="40" t="s">
        <v>82</v>
      </c>
    </row>
    <row r="27">
      <c r="C27" s="43" t="s">
        <v>85</v>
      </c>
      <c r="D27" s="39" t="s">
        <v>86</v>
      </c>
      <c r="E27" s="39" t="s">
        <v>48</v>
      </c>
      <c r="F27" s="40">
        <v>176.0</v>
      </c>
      <c r="G27" s="44" t="s">
        <v>77</v>
      </c>
      <c r="H27" s="40" t="s">
        <v>87</v>
      </c>
    </row>
    <row r="28">
      <c r="C28" s="43" t="s">
        <v>88</v>
      </c>
      <c r="D28" s="39" t="s">
        <v>89</v>
      </c>
      <c r="E28" s="39" t="s">
        <v>48</v>
      </c>
      <c r="F28" s="40">
        <v>22.0</v>
      </c>
      <c r="G28" s="44" t="s">
        <v>90</v>
      </c>
      <c r="H28" s="40" t="s">
        <v>91</v>
      </c>
    </row>
    <row r="29">
      <c r="C29" s="43" t="s">
        <v>92</v>
      </c>
      <c r="D29" s="39" t="s">
        <v>93</v>
      </c>
      <c r="E29" s="39" t="s">
        <v>48</v>
      </c>
      <c r="F29" s="40">
        <v>72.0</v>
      </c>
      <c r="G29" s="44" t="s">
        <v>94</v>
      </c>
      <c r="H29" s="40" t="s">
        <v>95</v>
      </c>
    </row>
    <row r="30">
      <c r="C30" s="43" t="s">
        <v>96</v>
      </c>
      <c r="D30" s="39" t="s">
        <v>97</v>
      </c>
      <c r="E30" s="39" t="s">
        <v>48</v>
      </c>
      <c r="F30" s="40">
        <v>62.0</v>
      </c>
      <c r="G30" s="44" t="s">
        <v>98</v>
      </c>
      <c r="H30" s="40" t="s">
        <v>99</v>
      </c>
    </row>
    <row r="31">
      <c r="C31" s="43" t="s">
        <v>100</v>
      </c>
      <c r="D31" s="39" t="s">
        <v>101</v>
      </c>
      <c r="E31" s="39" t="s">
        <v>48</v>
      </c>
      <c r="F31" s="40">
        <v>46.0</v>
      </c>
      <c r="G31" s="44" t="s">
        <v>102</v>
      </c>
      <c r="H31" s="40" t="s">
        <v>103</v>
      </c>
    </row>
    <row r="32">
      <c r="C32" s="43" t="s">
        <v>104</v>
      </c>
      <c r="D32" s="39" t="s">
        <v>105</v>
      </c>
      <c r="E32" s="39" t="s">
        <v>48</v>
      </c>
      <c r="F32" s="40">
        <v>96.0</v>
      </c>
      <c r="G32" s="44" t="s">
        <v>106</v>
      </c>
      <c r="H32" s="40" t="s">
        <v>107</v>
      </c>
    </row>
    <row r="33">
      <c r="C33" s="43" t="s">
        <v>108</v>
      </c>
      <c r="D33" s="39" t="s">
        <v>109</v>
      </c>
      <c r="E33" s="39" t="s">
        <v>48</v>
      </c>
      <c r="F33" s="40">
        <v>57.0</v>
      </c>
      <c r="G33" s="44" t="s">
        <v>110</v>
      </c>
      <c r="H33" s="40" t="s">
        <v>111</v>
      </c>
    </row>
    <row r="34">
      <c r="C34" s="43" t="s">
        <v>112</v>
      </c>
      <c r="D34" s="39" t="s">
        <v>113</v>
      </c>
      <c r="E34" s="39" t="s">
        <v>48</v>
      </c>
      <c r="F34" s="40">
        <v>6.0</v>
      </c>
      <c r="G34" s="44" t="s">
        <v>114</v>
      </c>
      <c r="H34" s="40" t="s">
        <v>115</v>
      </c>
    </row>
    <row r="35">
      <c r="C35" s="43" t="s">
        <v>116</v>
      </c>
      <c r="D35" s="39" t="s">
        <v>117</v>
      </c>
      <c r="E35" s="39" t="s">
        <v>48</v>
      </c>
      <c r="F35" s="40">
        <v>143.0</v>
      </c>
      <c r="G35" s="44" t="s">
        <v>118</v>
      </c>
      <c r="H35" s="40" t="s">
        <v>119</v>
      </c>
    </row>
    <row r="36">
      <c r="C36" s="43" t="s">
        <v>120</v>
      </c>
      <c r="D36" s="39" t="s">
        <v>121</v>
      </c>
      <c r="E36" s="39" t="s">
        <v>48</v>
      </c>
      <c r="F36" s="40">
        <v>124.0</v>
      </c>
      <c r="G36" s="44" t="s">
        <v>122</v>
      </c>
      <c r="H36" s="40" t="s">
        <v>123</v>
      </c>
    </row>
    <row r="37">
      <c r="C37" s="43" t="s">
        <v>124</v>
      </c>
      <c r="D37" s="39" t="s">
        <v>125</v>
      </c>
      <c r="E37" s="39" t="s">
        <v>48</v>
      </c>
      <c r="F37" s="40">
        <v>112.0</v>
      </c>
      <c r="G37" s="44" t="s">
        <v>56</v>
      </c>
      <c r="H37" s="40" t="s">
        <v>126</v>
      </c>
    </row>
    <row r="38">
      <c r="C38" s="43" t="s">
        <v>127</v>
      </c>
      <c r="D38" s="39" t="s">
        <v>128</v>
      </c>
      <c r="E38" s="39" t="s">
        <v>48</v>
      </c>
      <c r="F38" s="40">
        <v>182.0</v>
      </c>
      <c r="G38" s="44" t="s">
        <v>129</v>
      </c>
      <c r="H38" s="40" t="s">
        <v>130</v>
      </c>
    </row>
    <row r="39">
      <c r="C39" s="43" t="s">
        <v>131</v>
      </c>
      <c r="D39" s="39" t="s">
        <v>132</v>
      </c>
      <c r="E39" s="39" t="s">
        <v>48</v>
      </c>
      <c r="F39" s="40">
        <v>106.0</v>
      </c>
      <c r="G39" s="44" t="s">
        <v>133</v>
      </c>
      <c r="H39" s="40" t="s">
        <v>134</v>
      </c>
    </row>
    <row r="40">
      <c r="C40" s="43" t="s">
        <v>135</v>
      </c>
      <c r="D40" s="39" t="s">
        <v>136</v>
      </c>
      <c r="E40" s="39" t="s">
        <v>48</v>
      </c>
      <c r="F40" s="40">
        <v>173.0</v>
      </c>
      <c r="G40" s="44" t="s">
        <v>60</v>
      </c>
      <c r="H40" s="40" t="s">
        <v>137</v>
      </c>
    </row>
    <row r="41">
      <c r="C41" s="43" t="s">
        <v>138</v>
      </c>
      <c r="D41" s="45" t="s">
        <v>139</v>
      </c>
      <c r="E41" s="39" t="s">
        <v>48</v>
      </c>
      <c r="F41" s="46">
        <v>28.0</v>
      </c>
      <c r="G41" s="47" t="s">
        <v>140</v>
      </c>
      <c r="H41" s="46" t="s">
        <v>141</v>
      </c>
    </row>
  </sheetData>
  <mergeCells count="1">
    <mergeCell ref="C3:H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" t="s">
        <v>142</v>
      </c>
      <c r="D3" s="2"/>
      <c r="E3" s="2"/>
      <c r="F3" s="2"/>
      <c r="G3" s="2"/>
    </row>
    <row r="4">
      <c r="C4" s="3" t="s">
        <v>37</v>
      </c>
      <c r="D4" s="3" t="s">
        <v>35</v>
      </c>
      <c r="E4" s="4" t="s">
        <v>143</v>
      </c>
      <c r="F4" s="5" t="s">
        <v>83</v>
      </c>
      <c r="G4" s="48" t="s">
        <v>84</v>
      </c>
    </row>
  </sheetData>
  <mergeCells count="1">
    <mergeCell ref="C3:G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" t="s">
        <v>144</v>
      </c>
      <c r="D3" s="2"/>
      <c r="E3" s="2"/>
      <c r="F3" s="2"/>
      <c r="G3" s="2"/>
    </row>
    <row r="4">
      <c r="C4" s="3" t="s">
        <v>145</v>
      </c>
      <c r="D4" s="4" t="s">
        <v>36</v>
      </c>
      <c r="E4" s="4" t="s">
        <v>83</v>
      </c>
      <c r="F4" s="5" t="s">
        <v>37</v>
      </c>
      <c r="G4" s="48" t="s">
        <v>146</v>
      </c>
    </row>
  </sheetData>
  <mergeCells count="1">
    <mergeCell ref="C3:G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3.25"/>
  </cols>
  <sheetData>
    <row r="4">
      <c r="C4" s="49" t="s">
        <v>147</v>
      </c>
      <c r="D4" s="2"/>
      <c r="E4" s="2"/>
      <c r="F4" s="2"/>
      <c r="G4" s="2"/>
      <c r="H4" s="2"/>
      <c r="I4" s="50"/>
    </row>
    <row r="5">
      <c r="C5" s="51" t="s">
        <v>33</v>
      </c>
      <c r="D5" s="51" t="s">
        <v>148</v>
      </c>
      <c r="E5" s="51" t="s">
        <v>149</v>
      </c>
      <c r="F5" s="51" t="s">
        <v>83</v>
      </c>
      <c r="G5" s="51" t="s">
        <v>37</v>
      </c>
      <c r="H5" s="51" t="s">
        <v>150</v>
      </c>
      <c r="I5" s="51" t="s">
        <v>84</v>
      </c>
    </row>
    <row r="6">
      <c r="C6" s="52">
        <v>45404.0</v>
      </c>
      <c r="D6" s="53">
        <v>1.0</v>
      </c>
      <c r="E6" s="52" t="s">
        <v>46</v>
      </c>
      <c r="F6" s="54">
        <v>93.0</v>
      </c>
      <c r="G6" s="55">
        <v>4.0</v>
      </c>
      <c r="H6" s="56">
        <v>46.0</v>
      </c>
      <c r="I6" s="56">
        <f t="shared" ref="I6:I10" si="1">F6*G6-H6</f>
        <v>326</v>
      </c>
    </row>
    <row r="7">
      <c r="C7" s="57">
        <v>45405.0</v>
      </c>
      <c r="D7" s="54">
        <v>2.0</v>
      </c>
      <c r="E7" s="58" t="s">
        <v>50</v>
      </c>
      <c r="F7" s="59">
        <v>57.0</v>
      </c>
      <c r="G7" s="54">
        <v>1.0</v>
      </c>
      <c r="H7" s="60"/>
      <c r="I7" s="60">
        <f t="shared" si="1"/>
        <v>57</v>
      </c>
    </row>
    <row r="8">
      <c r="C8" s="57">
        <v>45406.0</v>
      </c>
      <c r="D8" s="54">
        <v>3.0</v>
      </c>
      <c r="E8" s="58" t="s">
        <v>70</v>
      </c>
      <c r="F8" s="59">
        <v>38.0</v>
      </c>
      <c r="G8" s="54">
        <v>2.0</v>
      </c>
      <c r="H8" s="56">
        <v>10.0</v>
      </c>
      <c r="I8" s="60">
        <f t="shared" si="1"/>
        <v>66</v>
      </c>
    </row>
    <row r="9">
      <c r="C9" s="57">
        <v>45407.0</v>
      </c>
      <c r="D9" s="54">
        <v>4.0</v>
      </c>
      <c r="E9" s="61" t="s">
        <v>43</v>
      </c>
      <c r="F9" s="62">
        <v>51.0</v>
      </c>
      <c r="G9" s="63">
        <v>0.5</v>
      </c>
      <c r="H9" s="56"/>
      <c r="I9" s="60">
        <f t="shared" si="1"/>
        <v>25.5</v>
      </c>
    </row>
    <row r="10">
      <c r="C10" s="57">
        <v>45408.0</v>
      </c>
      <c r="D10" s="54">
        <v>5.0</v>
      </c>
      <c r="E10" s="58" t="s">
        <v>66</v>
      </c>
      <c r="F10" s="59">
        <v>56.0</v>
      </c>
      <c r="G10" s="54">
        <v>9.0</v>
      </c>
      <c r="H10" s="56">
        <v>50.4</v>
      </c>
      <c r="I10" s="60">
        <f t="shared" si="1"/>
        <v>453.6</v>
      </c>
    </row>
  </sheetData>
  <mergeCells count="1">
    <mergeCell ref="C4:I4"/>
  </mergeCells>
  <drawing r:id="rId1"/>
</worksheet>
</file>